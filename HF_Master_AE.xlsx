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B5E20"/>
      <sz val="10"/>
    </font>
    <font>
      <name val="Arial"/>
      <charset val="1"/>
      <family val="0"/>
      <b val="1"/>
      <sz val="10"/>
    </font>
    <font>
      <name val="Arial"/>
      <charset val="1"/>
      <family val="0"/>
      <sz val="9"/>
    </font>
  </fonts>
  <fills count="4">
    <fill>
      <patternFill/>
    </fill>
    <fill>
      <patternFill patternType="gray125"/>
    </fill>
    <fill>
      <patternFill patternType="solid">
        <fgColor rgb="FF1A237E"/>
        <bgColor rgb="FF333399"/>
      </patternFill>
    </fill>
    <fill>
      <patternFill patternType="solid">
        <fgColor rgb="FFE8F5E9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 wrapText="1"/>
    </xf>
    <xf numFmtId="0" fontId="5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 wrapText="1"/>
    </xf>
    <xf numFmtId="0" fontId="5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237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H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9" min="1" max="1"/>
    <col width="15" customWidth="1" style="9" min="2" max="2"/>
    <col width="12" customWidth="1" style="9" min="3" max="3"/>
    <col width="13" customWidth="1" style="9" min="4" max="4"/>
    <col width="15" customWidth="1" style="9" min="5" max="5"/>
    <col width="16" customWidth="1" style="9" min="6" max="7"/>
    <col width="19" customWidth="1" style="9" min="8" max="8"/>
    <col width="20" customWidth="1" style="9" min="9" max="9"/>
    <col width="22" customWidth="1" style="9" min="10" max="10"/>
    <col width="21" customWidth="1" style="9" min="11" max="11"/>
    <col width="19" customWidth="1" style="9" min="12" max="12"/>
    <col width="21" customWidth="1" style="9" min="13" max="13"/>
    <col width="13" customWidth="1" style="9" min="14" max="14"/>
    <col width="20" customWidth="1" style="9" min="15" max="15"/>
    <col width="22" customWidth="1" style="9" min="16" max="16"/>
    <col width="14" customWidth="1" style="9" min="17" max="17"/>
    <col width="20" customWidth="1" style="9" min="18" max="18"/>
    <col width="22" customWidth="1" style="9" min="19" max="19"/>
    <col width="14" customWidth="1" style="9" min="20" max="21"/>
    <col width="20" customWidth="1" style="9" min="22" max="22"/>
    <col width="22" customWidth="1" style="9" min="23" max="23"/>
    <col width="17" customWidth="1" style="9" min="24" max="25"/>
    <col width="19" customWidth="1" style="9" min="26" max="26"/>
    <col width="15" customWidth="1" style="9" min="27" max="27"/>
    <col width="13" customWidth="1" style="9" min="28" max="28"/>
    <col width="27" customWidth="1" style="9" min="29" max="29"/>
    <col width="26" customWidth="1" style="9" min="30" max="30"/>
    <col width="30" customWidth="1" style="9" min="31" max="31"/>
    <col width="16" customWidth="1" style="9" min="32" max="32"/>
    <col width="20" customWidth="1" style="9" min="33" max="33"/>
    <col width="25" customWidth="1" style="9" min="34" max="34"/>
  </cols>
  <sheetData>
    <row r="1" ht="15" customHeight="1" s="10">
      <c r="A1" s="11" t="inlineStr">
        <is>
          <t>Hospital</t>
        </is>
      </c>
      <c r="B1" s="11" t="inlineStr">
        <is>
          <t>hospital_beds</t>
        </is>
      </c>
      <c r="C1" s="11" t="inlineStr">
        <is>
          <t>region</t>
        </is>
      </c>
      <c r="D1" s="11" t="inlineStr">
        <is>
          <t>ed_trolleys</t>
        </is>
      </c>
      <c r="E1" s="11" t="inlineStr">
        <is>
          <t>ward_trolleys</t>
        </is>
      </c>
      <c r="F1" s="11" t="inlineStr">
        <is>
          <t>total_trolleys</t>
        </is>
      </c>
      <c r="G1" s="11" t="inlineStr">
        <is>
          <t>surge_capacity</t>
        </is>
      </c>
      <c r="H1" s="11" t="inlineStr">
        <is>
          <t>delayed_transfers</t>
        </is>
      </c>
      <c r="I1" s="11" t="inlineStr">
        <is>
          <t>waiting_over_24hrs</t>
        </is>
      </c>
      <c r="J1" s="11" t="inlineStr">
        <is>
          <t>over75_waiting_24hrs</t>
        </is>
      </c>
      <c r="K1" s="11" t="inlineStr">
        <is>
          <t>snapshot_date</t>
        </is>
      </c>
      <c r="L1" s="11" t="inlineStr">
        <is>
          <t>daily_ed_trolleys</t>
        </is>
      </c>
      <c r="M1" s="11" t="inlineStr">
        <is>
          <t>daily_ward_trolleys</t>
        </is>
      </c>
      <c r="N1" s="11" t="inlineStr">
        <is>
          <t>daily_total</t>
        </is>
      </c>
      <c r="O1" s="11" t="inlineStr">
        <is>
          <t>weekly_ed_trolleys</t>
        </is>
      </c>
      <c r="P1" s="11" t="inlineStr">
        <is>
          <t>weekly_ward_trolleys</t>
        </is>
      </c>
      <c r="Q1" s="11" t="inlineStr">
        <is>
          <t>weekly_total</t>
        </is>
      </c>
      <c r="R1" s="11" t="inlineStr">
        <is>
          <t>yearly_ed_trolleys</t>
        </is>
      </c>
      <c r="S1" s="11" t="inlineStr">
        <is>
          <t>yearly_ward_trolleys</t>
        </is>
      </c>
      <c r="T1" s="11" t="inlineStr">
        <is>
          <t>yearly_total</t>
        </is>
      </c>
      <c r="U1" s="11" t="inlineStr">
        <is>
          <t>trolley_load</t>
        </is>
      </c>
      <c r="V1" s="11" t="inlineStr">
        <is>
          <t>occupancy_rate_pct</t>
        </is>
      </c>
      <c r="W1" s="11" t="inlineStr">
        <is>
          <t>traffic_light_status</t>
        </is>
      </c>
      <c r="X1" s="11" t="inlineStr">
        <is>
          <t>wait_tier</t>
        </is>
      </c>
      <c r="Y1" s="11" t="inlineStr">
        <is>
          <t>is_bank_holiday</t>
        </is>
      </c>
      <c r="Z1" s="11" t="inlineStr">
        <is>
          <t>bank_holiday_name</t>
        </is>
      </c>
      <c r="AA1" s="11" t="inlineStr">
        <is>
          <t>is_flu_season</t>
        </is>
      </c>
      <c r="AB1" s="11" t="inlineStr">
        <is>
          <t>is_flu_peak</t>
        </is>
      </c>
      <c r="AC1" s="11" t="inlineStr">
        <is>
          <t>capacity_relief_potential</t>
        </is>
      </c>
      <c r="AD1" s="11" t="inlineStr">
        <is>
          <t>behavioural_impact_score</t>
        </is>
      </c>
      <c r="AE1" s="11" t="inlineStr">
        <is>
          <t>seasonal_context</t>
        </is>
      </c>
      <c r="AF1" s="11" t="inlineStr">
        <is>
          <t>hospital_model</t>
        </is>
      </c>
      <c r="AG1" s="11" t="inlineStr">
        <is>
          <t>avoidable_rate_pct</t>
        </is>
      </c>
      <c r="AH1" s="11" t="inlineStr">
        <is>
          <t>est_monthly_attendances</t>
        </is>
      </c>
    </row>
    <row r="2" ht="15" customHeight="1" s="10">
      <c r="A2" s="9" t="inlineStr">
        <is>
          <t>Beaumont Hospital</t>
        </is>
      </c>
      <c r="B2" s="9" t="n">
        <v>718</v>
      </c>
      <c r="C2" s="12" t="inlineStr">
        <is>
          <t>eastern</t>
        </is>
      </c>
      <c r="D2" s="9" t="n">
        <v>12</v>
      </c>
      <c r="E2" s="9" t="n">
        <v>0</v>
      </c>
      <c r="F2" s="9" t="n">
        <v>12</v>
      </c>
      <c r="G2" s="9" t="n">
        <v>26</v>
      </c>
      <c r="H2" s="9" t="n">
        <v>24</v>
      </c>
      <c r="I2" s="9" t="n">
        <v>0</v>
      </c>
      <c r="J2" s="9" t="n">
        <v>0</v>
      </c>
      <c r="K2" s="13" t="n">
        <v>46161</v>
      </c>
      <c r="L2" s="9" t="n">
        <v>19</v>
      </c>
      <c r="M2" s="9" t="n">
        <v>0</v>
      </c>
      <c r="N2" s="9" t="n">
        <v>19</v>
      </c>
      <c r="O2" s="9" t="n">
        <v>149</v>
      </c>
      <c r="P2" s="9" t="n">
        <v>0</v>
      </c>
      <c r="Q2" s="9" t="n">
        <v>149</v>
      </c>
      <c r="R2" s="12" t="n">
        <v>1455</v>
      </c>
      <c r="S2" s="12" t="n">
        <v>0</v>
      </c>
      <c r="T2" s="12" t="n">
        <v>1455</v>
      </c>
      <c r="U2" s="9" t="n">
        <v>12</v>
      </c>
      <c r="V2" s="12" t="n">
        <v>1.7</v>
      </c>
      <c r="W2" s="9" t="inlineStr">
        <is>
          <t>Green</t>
        </is>
      </c>
      <c r="X2" s="12" t="inlineStr">
        <is>
          <t>No breach</t>
        </is>
      </c>
      <c r="Y2" s="9">
        <f>FALSE()</f>
        <v/>
      </c>
      <c r="AA2" s="9">
        <f>TRUE()</f>
        <v/>
      </c>
      <c r="AB2" s="12">
        <f>FALSE()</f>
        <v/>
      </c>
      <c r="AC2" s="12" t="n">
        <v>2</v>
      </c>
      <c r="AD2" s="12" t="n">
        <v>3.2</v>
      </c>
      <c r="AE2" s="12" t="inlineStr">
        <is>
          <t>Summer — Baseline ED pressure</t>
        </is>
      </c>
      <c r="AF2" s="9" t="inlineStr">
        <is>
          <t>Model 4</t>
        </is>
      </c>
      <c r="AG2" s="12" t="n">
        <v>18</v>
      </c>
      <c r="AH2" s="12" t="n">
        <v>5470</v>
      </c>
    </row>
    <row r="3" ht="15" customHeight="1" s="10">
      <c r="A3" s="9" t="inlineStr">
        <is>
          <t>Cavan General Hospital</t>
        </is>
      </c>
      <c r="B3" s="9" t="n">
        <v>231</v>
      </c>
      <c r="C3" s="12" t="inlineStr">
        <is>
          <t>country</t>
        </is>
      </c>
      <c r="D3" s="9" t="n">
        <v>8</v>
      </c>
      <c r="E3" s="9" t="n">
        <v>0</v>
      </c>
      <c r="F3" s="9" t="n">
        <v>8</v>
      </c>
      <c r="G3" s="9" t="n">
        <v>6</v>
      </c>
      <c r="H3" s="9" t="n">
        <v>3</v>
      </c>
      <c r="I3" s="9" t="n">
        <v>0</v>
      </c>
      <c r="J3" s="9" t="n">
        <v>0</v>
      </c>
      <c r="K3" s="13" t="n">
        <v>46161</v>
      </c>
      <c r="L3" s="9" t="n">
        <v>9</v>
      </c>
      <c r="M3" s="9" t="n">
        <v>0</v>
      </c>
      <c r="N3" s="9" t="n">
        <v>9</v>
      </c>
      <c r="O3" s="9" t="n">
        <v>111</v>
      </c>
      <c r="P3" s="9" t="n">
        <v>0</v>
      </c>
      <c r="Q3" s="9" t="n">
        <v>111</v>
      </c>
      <c r="R3" s="12" t="n">
        <v>2432</v>
      </c>
      <c r="S3" s="12" t="n">
        <v>1764</v>
      </c>
      <c r="T3" s="12" t="n">
        <v>4196</v>
      </c>
      <c r="U3" s="9" t="n">
        <v>8</v>
      </c>
      <c r="V3" s="12" t="n">
        <v>3.5</v>
      </c>
      <c r="W3" s="9" t="inlineStr">
        <is>
          <t>Green</t>
        </is>
      </c>
      <c r="X3" s="12" t="inlineStr">
        <is>
          <t>No breach</t>
        </is>
      </c>
      <c r="Y3" s="9">
        <f>FALSE()</f>
        <v/>
      </c>
      <c r="AA3" s="9">
        <f>TRUE()</f>
        <v/>
      </c>
      <c r="AB3" s="12">
        <f>FALSE()</f>
        <v/>
      </c>
      <c r="AC3" s="12" t="n">
        <v>3</v>
      </c>
      <c r="AD3" s="12" t="n">
        <v>3.9</v>
      </c>
      <c r="AE3" s="12" t="inlineStr">
        <is>
          <t>Summer — Baseline ED pressure</t>
        </is>
      </c>
      <c r="AF3" s="9" t="inlineStr">
        <is>
          <t>Model 3</t>
        </is>
      </c>
      <c r="AG3" s="12" t="n">
        <v>25.4</v>
      </c>
      <c r="AH3" s="12" t="n">
        <v>3696</v>
      </c>
    </row>
    <row r="4" ht="15" customHeight="1" s="10">
      <c r="A4" s="9" t="inlineStr">
        <is>
          <t>Connolly Hospital Blanchardstown</t>
        </is>
      </c>
      <c r="B4" s="9" t="n">
        <v>303</v>
      </c>
      <c r="C4" s="12" t="inlineStr">
        <is>
          <t>eastern</t>
        </is>
      </c>
      <c r="D4" s="9" t="n">
        <v>0</v>
      </c>
      <c r="E4" s="9" t="n">
        <v>0</v>
      </c>
      <c r="F4" s="9" t="n">
        <v>0</v>
      </c>
      <c r="G4" s="9" t="n">
        <v>4</v>
      </c>
      <c r="H4" s="9" t="n">
        <v>4</v>
      </c>
      <c r="I4" s="9" t="n">
        <v>0</v>
      </c>
      <c r="J4" s="9" t="n">
        <v>0</v>
      </c>
      <c r="K4" s="13" t="n">
        <v>46161</v>
      </c>
      <c r="L4" s="9" t="n">
        <v>6</v>
      </c>
      <c r="M4" s="9" t="n">
        <v>0</v>
      </c>
      <c r="N4" s="9" t="n">
        <v>6</v>
      </c>
      <c r="O4" s="9" t="n">
        <v>57</v>
      </c>
      <c r="P4" s="9" t="n">
        <v>0</v>
      </c>
      <c r="Q4" s="9" t="n">
        <v>57</v>
      </c>
      <c r="R4" s="12" t="n">
        <v>1471</v>
      </c>
      <c r="S4" s="12" t="n">
        <v>0</v>
      </c>
      <c r="T4" s="12" t="n">
        <v>1471</v>
      </c>
      <c r="U4" s="9" t="n">
        <v>0</v>
      </c>
      <c r="V4" s="12" t="n">
        <v>0</v>
      </c>
      <c r="W4" s="9" t="inlineStr">
        <is>
          <t>Green</t>
        </is>
      </c>
      <c r="X4" s="12" t="inlineStr">
        <is>
          <t>No breach</t>
        </is>
      </c>
      <c r="Y4" s="9">
        <f>FALSE()</f>
        <v/>
      </c>
      <c r="AA4" s="9">
        <f>TRUE()</f>
        <v/>
      </c>
      <c r="AB4" s="12">
        <f>FALSE()</f>
        <v/>
      </c>
      <c r="AC4" s="12" t="n">
        <v>0</v>
      </c>
      <c r="AD4" s="12" t="n">
        <v>2.6</v>
      </c>
      <c r="AE4" s="12" t="inlineStr">
        <is>
          <t>Summer — Baseline ED pressure</t>
        </is>
      </c>
      <c r="AF4" s="9" t="inlineStr">
        <is>
          <t>Model 3</t>
        </is>
      </c>
      <c r="AG4" s="12" t="n">
        <v>25.3</v>
      </c>
      <c r="AH4" s="12" t="n">
        <v>4493</v>
      </c>
    </row>
    <row r="5" ht="15" customHeight="1" s="10">
      <c r="A5" s="9" t="inlineStr">
        <is>
          <t>Mater Misericordiae University Hospital</t>
        </is>
      </c>
      <c r="B5" s="9" t="n">
        <v>678</v>
      </c>
      <c r="C5" s="12" t="inlineStr">
        <is>
          <t>eastern</t>
        </is>
      </c>
      <c r="D5" s="9" t="n">
        <v>22</v>
      </c>
      <c r="E5" s="9" t="n">
        <v>0</v>
      </c>
      <c r="F5" s="9" t="n">
        <v>22</v>
      </c>
      <c r="G5" s="9" t="n">
        <v>49</v>
      </c>
      <c r="H5" s="9" t="n">
        <v>17</v>
      </c>
      <c r="I5" s="9" t="n">
        <v>1</v>
      </c>
      <c r="J5" s="9" t="n">
        <v>0</v>
      </c>
      <c r="K5" s="13" t="n">
        <v>46161</v>
      </c>
      <c r="L5" s="9" t="n">
        <v>32</v>
      </c>
      <c r="M5" s="9" t="n">
        <v>0</v>
      </c>
      <c r="N5" s="9" t="n">
        <v>32</v>
      </c>
      <c r="O5" s="9" t="n">
        <v>300</v>
      </c>
      <c r="P5" s="9" t="n">
        <v>0</v>
      </c>
      <c r="Q5" s="9" t="n">
        <v>300</v>
      </c>
      <c r="R5" s="12" t="n">
        <v>2167</v>
      </c>
      <c r="S5" s="12" t="n">
        <v>0</v>
      </c>
      <c r="T5" s="12" t="n">
        <v>2167</v>
      </c>
      <c r="U5" s="9" t="n">
        <v>22</v>
      </c>
      <c r="V5" s="12" t="n">
        <v>3.2</v>
      </c>
      <c r="W5" s="9" t="inlineStr">
        <is>
          <t>Amber</t>
        </is>
      </c>
      <c r="X5" s="12" t="inlineStr">
        <is>
          <t>Low breach</t>
        </is>
      </c>
      <c r="Y5" s="9">
        <f>FALSE()</f>
        <v/>
      </c>
      <c r="AA5" s="9">
        <f>TRUE()</f>
        <v/>
      </c>
      <c r="AB5" s="12">
        <f>FALSE()</f>
        <v/>
      </c>
      <c r="AC5" s="12" t="n">
        <v>32</v>
      </c>
      <c r="AD5" s="12" t="n">
        <v>3.8</v>
      </c>
      <c r="AE5" s="12" t="inlineStr">
        <is>
          <t>Summer — Baseline ED pressure</t>
        </is>
      </c>
      <c r="AF5" s="9" t="inlineStr">
        <is>
          <t>Model 4</t>
        </is>
      </c>
      <c r="AG5" s="12" t="n">
        <v>18.3</v>
      </c>
      <c r="AH5" s="12" t="n">
        <v>8679</v>
      </c>
    </row>
    <row r="6" ht="15" customHeight="1" s="10">
      <c r="A6" s="9" t="inlineStr">
        <is>
          <t>Our Lady of Lourdes Hospital</t>
        </is>
      </c>
      <c r="B6" s="9" t="n">
        <v>426</v>
      </c>
      <c r="C6" s="12" t="inlineStr">
        <is>
          <t>country</t>
        </is>
      </c>
      <c r="D6" s="9" t="n">
        <v>4</v>
      </c>
      <c r="E6" s="9" t="n">
        <v>0</v>
      </c>
      <c r="F6" s="9" t="n">
        <v>4</v>
      </c>
      <c r="G6" s="9" t="n">
        <v>33</v>
      </c>
      <c r="H6" s="9" t="n">
        <v>11</v>
      </c>
      <c r="I6" s="9" t="n">
        <v>0</v>
      </c>
      <c r="J6" s="9" t="n">
        <v>0</v>
      </c>
      <c r="K6" s="13" t="n">
        <v>46161</v>
      </c>
      <c r="L6" s="9" t="n">
        <v>9</v>
      </c>
      <c r="M6" s="9" t="n">
        <v>0</v>
      </c>
      <c r="N6" s="9" t="n">
        <v>9</v>
      </c>
      <c r="O6" s="9" t="n">
        <v>101</v>
      </c>
      <c r="P6" s="9" t="n">
        <v>0</v>
      </c>
      <c r="Q6" s="9" t="n">
        <v>101</v>
      </c>
      <c r="R6" s="12" t="n">
        <v>882</v>
      </c>
      <c r="S6" s="12" t="n">
        <v>0</v>
      </c>
      <c r="T6" s="12" t="n">
        <v>882</v>
      </c>
      <c r="U6" s="9" t="n">
        <v>4</v>
      </c>
      <c r="V6" s="12" t="n">
        <v>0.9</v>
      </c>
      <c r="W6" s="9" t="inlineStr">
        <is>
          <t>Green</t>
        </is>
      </c>
      <c r="X6" s="12" t="inlineStr">
        <is>
          <t>No breach</t>
        </is>
      </c>
      <c r="Y6" s="9">
        <f>FALSE()</f>
        <v/>
      </c>
      <c r="AA6" s="9">
        <f>TRUE()</f>
        <v/>
      </c>
      <c r="AB6" s="12">
        <f>FALSE()</f>
        <v/>
      </c>
      <c r="AC6" s="12" t="n">
        <v>22</v>
      </c>
      <c r="AD6" s="12" t="n">
        <v>3</v>
      </c>
      <c r="AE6" s="12" t="inlineStr">
        <is>
          <t>Summer — Baseline ED pressure</t>
        </is>
      </c>
      <c r="AF6" s="9" t="inlineStr">
        <is>
          <t>Model 3</t>
        </is>
      </c>
      <c r="AG6" s="12" t="n">
        <v>25</v>
      </c>
      <c r="AH6" s="12" t="n">
        <v>5768</v>
      </c>
    </row>
    <row r="7" ht="15" customHeight="1" s="10">
      <c r="A7" s="9" t="inlineStr">
        <is>
          <t>Our Lady's Hospital Navan</t>
        </is>
      </c>
      <c r="B7" s="9" t="n">
        <v>100</v>
      </c>
      <c r="C7" s="12" t="inlineStr">
        <is>
          <t>eastern</t>
        </is>
      </c>
      <c r="D7" s="9" t="n">
        <v>0</v>
      </c>
      <c r="E7" s="9" t="n">
        <v>0</v>
      </c>
      <c r="F7" s="9" t="n">
        <v>0</v>
      </c>
      <c r="G7" s="9" t="n">
        <v>19</v>
      </c>
      <c r="H7" s="9" t="n">
        <v>0</v>
      </c>
      <c r="I7" s="9" t="n">
        <v>0</v>
      </c>
      <c r="J7" s="9" t="n">
        <v>0</v>
      </c>
      <c r="K7" s="13" t="n">
        <v>46161</v>
      </c>
      <c r="R7" s="12" t="n">
        <v>0</v>
      </c>
      <c r="S7" s="12" t="n">
        <v>0</v>
      </c>
      <c r="T7" s="12" t="n">
        <v>0</v>
      </c>
      <c r="U7" s="9" t="n">
        <v>0</v>
      </c>
      <c r="V7" s="12" t="n">
        <v>0</v>
      </c>
      <c r="W7" s="9" t="inlineStr">
        <is>
          <t>Green</t>
        </is>
      </c>
      <c r="X7" s="12" t="inlineStr">
        <is>
          <t>No breach</t>
        </is>
      </c>
      <c r="Y7" s="9">
        <f>FALSE()</f>
        <v/>
      </c>
      <c r="AA7" s="9">
        <f>TRUE()</f>
        <v/>
      </c>
      <c r="AB7" s="12">
        <f>FALSE()</f>
        <v/>
      </c>
      <c r="AC7" s="12" t="n">
        <v>19</v>
      </c>
      <c r="AD7" s="12" t="n">
        <v>2.6</v>
      </c>
      <c r="AE7" s="12" t="inlineStr">
        <is>
          <t>Summer — Baseline ED pressure</t>
        </is>
      </c>
      <c r="AF7" s="9" t="inlineStr">
        <is>
          <t>Model 3</t>
        </is>
      </c>
      <c r="AG7" s="12" t="n">
        <v>25.5</v>
      </c>
      <c r="AH7" s="12" t="n">
        <v>2282</v>
      </c>
    </row>
    <row r="8" ht="15" customHeight="1" s="10">
      <c r="A8" s="9" t="inlineStr">
        <is>
          <t>CHI at Crumlin</t>
        </is>
      </c>
      <c r="B8" s="9" t="n">
        <v>184</v>
      </c>
      <c r="C8" s="12" t="inlineStr">
        <is>
          <t>paediatric</t>
        </is>
      </c>
      <c r="D8" s="9" t="n">
        <v>2</v>
      </c>
      <c r="E8" s="9" t="n">
        <v>0</v>
      </c>
      <c r="F8" s="9" t="n">
        <v>2</v>
      </c>
      <c r="G8" s="9" t="n">
        <v>0</v>
      </c>
      <c r="H8" s="9" t="n">
        <v>3</v>
      </c>
      <c r="I8" s="9" t="n">
        <v>0</v>
      </c>
      <c r="J8" s="9" t="n">
        <v>0</v>
      </c>
      <c r="K8" s="13" t="n">
        <v>46161</v>
      </c>
      <c r="L8" s="9" t="n">
        <v>2</v>
      </c>
      <c r="M8" s="9" t="n">
        <v>0</v>
      </c>
      <c r="N8" s="9" t="n">
        <v>2</v>
      </c>
      <c r="O8" s="9" t="n">
        <v>54</v>
      </c>
      <c r="P8" s="9" t="n">
        <v>3</v>
      </c>
      <c r="Q8" s="9" t="n">
        <v>57</v>
      </c>
      <c r="R8" s="12" t="n">
        <v>383</v>
      </c>
      <c r="S8" s="12" t="n">
        <v>52</v>
      </c>
      <c r="T8" s="12" t="n">
        <v>435</v>
      </c>
      <c r="U8" s="9" t="n">
        <v>2</v>
      </c>
      <c r="V8" s="12" t="n">
        <v>1.1</v>
      </c>
      <c r="W8" s="9" t="inlineStr">
        <is>
          <t>Green</t>
        </is>
      </c>
      <c r="X8" s="12" t="inlineStr">
        <is>
          <t>No breach</t>
        </is>
      </c>
      <c r="Y8" s="9">
        <f>FALSE()</f>
        <v/>
      </c>
      <c r="AA8" s="9">
        <f>TRUE()</f>
        <v/>
      </c>
      <c r="AB8" s="12">
        <f>FALSE()</f>
        <v/>
      </c>
      <c r="AC8" s="12" t="n">
        <v>-3</v>
      </c>
      <c r="AD8" s="12" t="n">
        <v>3</v>
      </c>
      <c r="AE8" s="12" t="inlineStr">
        <is>
          <t>Summer — Baseline ED pressure</t>
        </is>
      </c>
      <c r="AF8" s="9" t="inlineStr">
        <is>
          <t>CHI</t>
        </is>
      </c>
      <c r="AG8" s="12" t="n">
        <v>21.2</v>
      </c>
      <c r="AH8" s="12" t="n">
        <v>5879</v>
      </c>
    </row>
    <row r="9" ht="15" customHeight="1" s="10">
      <c r="A9" s="9" t="inlineStr">
        <is>
          <t>CHI at Tallaght</t>
        </is>
      </c>
      <c r="B9" s="9" t="n">
        <v>50</v>
      </c>
      <c r="C9" s="12" t="inlineStr">
        <is>
          <t>paediatric</t>
        </is>
      </c>
      <c r="D9" s="9" t="n">
        <v>1</v>
      </c>
      <c r="E9" s="9" t="n">
        <v>0</v>
      </c>
      <c r="F9" s="9" t="n">
        <v>1</v>
      </c>
      <c r="G9" s="9" t="n">
        <v>5</v>
      </c>
      <c r="H9" s="9" t="n">
        <v>2</v>
      </c>
      <c r="I9" s="9" t="n">
        <v>0</v>
      </c>
      <c r="J9" s="9" t="n">
        <v>0</v>
      </c>
      <c r="K9" s="13" t="n">
        <v>46161</v>
      </c>
      <c r="R9" s="12" t="n">
        <v>0</v>
      </c>
      <c r="S9" s="12" t="n">
        <v>0</v>
      </c>
      <c r="T9" s="12" t="n">
        <v>0</v>
      </c>
      <c r="U9" s="9" t="n">
        <v>1</v>
      </c>
      <c r="V9" s="12" t="n">
        <v>2</v>
      </c>
      <c r="W9" s="9" t="inlineStr">
        <is>
          <t>Green</t>
        </is>
      </c>
      <c r="X9" s="12" t="inlineStr">
        <is>
          <t>No breach</t>
        </is>
      </c>
      <c r="Y9" s="9">
        <f>FALSE()</f>
        <v/>
      </c>
      <c r="AA9" s="9">
        <f>TRUE()</f>
        <v/>
      </c>
      <c r="AB9" s="12">
        <f>FALSE()</f>
        <v/>
      </c>
      <c r="AC9" s="12" t="n">
        <v>3</v>
      </c>
      <c r="AD9" s="12" t="n">
        <v>3.4</v>
      </c>
      <c r="AE9" s="12" t="inlineStr">
        <is>
          <t>Summer — Baseline ED pressure</t>
        </is>
      </c>
      <c r="AF9" s="9" t="inlineStr">
        <is>
          <t>CHI</t>
        </is>
      </c>
      <c r="AG9" s="12" t="n">
        <v>21.3</v>
      </c>
      <c r="AH9" s="12" t="n">
        <v>1597</v>
      </c>
    </row>
    <row r="10" ht="15" customHeight="1" s="10">
      <c r="A10" s="9" t="inlineStr">
        <is>
          <t>CHI at Temple Street</t>
        </is>
      </c>
      <c r="B10" s="9" t="n">
        <v>100</v>
      </c>
      <c r="C10" s="12" t="inlineStr">
        <is>
          <t>paediatric</t>
        </is>
      </c>
      <c r="D10" s="9" t="n">
        <v>1</v>
      </c>
      <c r="E10" s="9" t="n">
        <v>0</v>
      </c>
      <c r="F10" s="9" t="n">
        <v>1</v>
      </c>
      <c r="G10" s="9" t="n">
        <v>0</v>
      </c>
      <c r="H10" s="9" t="n">
        <v>1</v>
      </c>
      <c r="I10" s="9" t="n">
        <v>0</v>
      </c>
      <c r="J10" s="9" t="n">
        <v>0</v>
      </c>
      <c r="K10" s="13" t="n">
        <v>46161</v>
      </c>
      <c r="L10" s="9" t="n">
        <v>1</v>
      </c>
      <c r="M10" s="9" t="n">
        <v>0</v>
      </c>
      <c r="N10" s="9" t="n">
        <v>1</v>
      </c>
      <c r="O10" s="9" t="n">
        <v>0</v>
      </c>
      <c r="P10" s="9" t="n">
        <v>41</v>
      </c>
      <c r="Q10" s="9" t="n">
        <v>41</v>
      </c>
      <c r="R10" s="12" t="n">
        <v>276</v>
      </c>
      <c r="S10" s="12" t="n">
        <v>0</v>
      </c>
      <c r="T10" s="12" t="n">
        <v>276</v>
      </c>
      <c r="U10" s="9" t="n">
        <v>1</v>
      </c>
      <c r="V10" s="12" t="n">
        <v>1</v>
      </c>
      <c r="W10" s="9" t="inlineStr">
        <is>
          <t>Green</t>
        </is>
      </c>
      <c r="X10" s="12" t="inlineStr">
        <is>
          <t>No breach</t>
        </is>
      </c>
      <c r="Y10" s="9">
        <f>FALSE()</f>
        <v/>
      </c>
      <c r="AA10" s="9">
        <f>TRUE()</f>
        <v/>
      </c>
      <c r="AB10" s="12">
        <f>FALSE()</f>
        <v/>
      </c>
      <c r="AC10" s="12" t="n">
        <v>-1</v>
      </c>
      <c r="AD10" s="12" t="n">
        <v>3</v>
      </c>
      <c r="AE10" s="12" t="inlineStr">
        <is>
          <t>Summer — Baseline ED pressure</t>
        </is>
      </c>
      <c r="AF10" s="9" t="inlineStr">
        <is>
          <t>CHI</t>
        </is>
      </c>
      <c r="AG10" s="12" t="n">
        <v>21.3</v>
      </c>
      <c r="AH10" s="12" t="n">
        <v>3195</v>
      </c>
    </row>
    <row r="11" ht="15" customHeight="1" s="10">
      <c r="A11" s="9" t="inlineStr">
        <is>
          <t>Midland Regional Hospital Mullingar</t>
        </is>
      </c>
      <c r="B11" s="9" t="n">
        <v>184</v>
      </c>
      <c r="C11" s="12" t="inlineStr">
        <is>
          <t>country</t>
        </is>
      </c>
      <c r="D11" s="9" t="n">
        <v>8</v>
      </c>
      <c r="E11" s="9" t="n">
        <v>2</v>
      </c>
      <c r="F11" s="9" t="n">
        <v>10</v>
      </c>
      <c r="G11" s="9" t="n">
        <v>0</v>
      </c>
      <c r="H11" s="9" t="n">
        <v>2</v>
      </c>
      <c r="I11" s="9" t="n">
        <v>0</v>
      </c>
      <c r="J11" s="9" t="n">
        <v>0</v>
      </c>
      <c r="K11" s="13" t="n">
        <v>46161</v>
      </c>
      <c r="L11" s="9" t="n">
        <v>8</v>
      </c>
      <c r="M11" s="9" t="n">
        <v>2</v>
      </c>
      <c r="N11" s="9" t="n">
        <v>10</v>
      </c>
      <c r="O11" s="9" t="n">
        <v>49</v>
      </c>
      <c r="P11" s="9" t="n">
        <v>2</v>
      </c>
      <c r="Q11" s="9" t="n">
        <v>51</v>
      </c>
      <c r="R11" s="12" t="n">
        <v>546</v>
      </c>
      <c r="S11" s="12" t="n">
        <v>781</v>
      </c>
      <c r="T11" s="12" t="n">
        <v>1327</v>
      </c>
      <c r="U11" s="9" t="n">
        <v>10</v>
      </c>
      <c r="V11" s="12" t="n">
        <v>5.4</v>
      </c>
      <c r="W11" s="9" t="inlineStr">
        <is>
          <t>Green</t>
        </is>
      </c>
      <c r="X11" s="12" t="inlineStr">
        <is>
          <t>No breach</t>
        </is>
      </c>
      <c r="Y11" s="9">
        <f>FALSE()</f>
        <v/>
      </c>
      <c r="AA11" s="9">
        <f>TRUE()</f>
        <v/>
      </c>
      <c r="AB11" s="12">
        <f>FALSE()</f>
        <v/>
      </c>
      <c r="AC11" s="12" t="n">
        <v>-2</v>
      </c>
      <c r="AD11" s="12" t="n">
        <v>4.6</v>
      </c>
      <c r="AE11" s="12" t="inlineStr">
        <is>
          <t>Summer — Baseline ED pressure</t>
        </is>
      </c>
      <c r="AF11" s="9" t="inlineStr">
        <is>
          <t>Model 3</t>
        </is>
      </c>
      <c r="AG11" s="12" t="n">
        <v>25.4</v>
      </c>
      <c r="AH11" s="12" t="n">
        <v>5355</v>
      </c>
    </row>
    <row r="12" ht="15" customHeight="1" s="10">
      <c r="A12" s="9" t="inlineStr">
        <is>
          <t>Midland Regional Hospital Portlaoise</t>
        </is>
      </c>
      <c r="B12" s="9" t="n">
        <v>133</v>
      </c>
      <c r="C12" s="12" t="inlineStr">
        <is>
          <t>country</t>
        </is>
      </c>
      <c r="D12" s="9" t="n">
        <v>8</v>
      </c>
      <c r="E12" s="9" t="n">
        <v>0</v>
      </c>
      <c r="F12" s="9" t="n">
        <v>8</v>
      </c>
      <c r="G12" s="9" t="n">
        <v>14</v>
      </c>
      <c r="H12" s="9" t="n">
        <v>3</v>
      </c>
      <c r="I12" s="9" t="n">
        <v>0</v>
      </c>
      <c r="J12" s="9" t="n">
        <v>0</v>
      </c>
      <c r="K12" s="13" t="n">
        <v>46161</v>
      </c>
      <c r="L12" s="9" t="n">
        <v>8</v>
      </c>
      <c r="M12" s="9" t="n">
        <v>0</v>
      </c>
      <c r="N12" s="9" t="n">
        <v>8</v>
      </c>
      <c r="O12" s="9" t="n">
        <v>99</v>
      </c>
      <c r="P12" s="9" t="n">
        <v>0</v>
      </c>
      <c r="Q12" s="9" t="n">
        <v>99</v>
      </c>
      <c r="R12" s="12" t="n">
        <v>1254</v>
      </c>
      <c r="S12" s="12" t="n">
        <v>598</v>
      </c>
      <c r="T12" s="12" t="n">
        <v>1852</v>
      </c>
      <c r="U12" s="9" t="n">
        <v>8</v>
      </c>
      <c r="V12" s="12" t="n">
        <v>6</v>
      </c>
      <c r="W12" s="9" t="inlineStr">
        <is>
          <t>Green</t>
        </is>
      </c>
      <c r="X12" s="12" t="inlineStr">
        <is>
          <t>No breach</t>
        </is>
      </c>
      <c r="Y12" s="9">
        <f>FALSE()</f>
        <v/>
      </c>
      <c r="AA12" s="9">
        <f>TRUE()</f>
        <v/>
      </c>
      <c r="AB12" s="12">
        <f>FALSE()</f>
        <v/>
      </c>
      <c r="AC12" s="12" t="n">
        <v>11</v>
      </c>
      <c r="AD12" s="12" t="n">
        <v>4.8</v>
      </c>
      <c r="AE12" s="12" t="inlineStr">
        <is>
          <t>Summer — Baseline ED pressure</t>
        </is>
      </c>
      <c r="AF12" s="9" t="inlineStr">
        <is>
          <t>Model 3</t>
        </is>
      </c>
      <c r="AG12" s="12" t="n">
        <v>25.4</v>
      </c>
      <c r="AH12" s="12" t="n">
        <v>3992</v>
      </c>
    </row>
    <row r="13" ht="15" customHeight="1" s="10">
      <c r="A13" s="9" t="inlineStr">
        <is>
          <t>Midland Regional Hospital Tullamore</t>
        </is>
      </c>
      <c r="B13" s="9" t="n">
        <v>254</v>
      </c>
      <c r="C13" s="12" t="inlineStr">
        <is>
          <t>country</t>
        </is>
      </c>
      <c r="D13" s="9" t="n">
        <v>0</v>
      </c>
      <c r="E13" s="9" t="n">
        <v>0</v>
      </c>
      <c r="F13" s="9" t="n">
        <v>0</v>
      </c>
      <c r="G13" s="9" t="n">
        <v>17</v>
      </c>
      <c r="H13" s="9" t="n">
        <v>10</v>
      </c>
      <c r="I13" s="9" t="n">
        <v>0</v>
      </c>
      <c r="J13" s="9" t="n">
        <v>0</v>
      </c>
      <c r="K13" s="13" t="n">
        <v>46161</v>
      </c>
      <c r="R13" s="12" t="n">
        <v>0</v>
      </c>
      <c r="S13" s="12" t="n">
        <v>0</v>
      </c>
      <c r="T13" s="12" t="n">
        <v>0</v>
      </c>
      <c r="U13" s="9" t="n">
        <v>0</v>
      </c>
      <c r="V13" s="12" t="n">
        <v>0</v>
      </c>
      <c r="W13" s="9" t="inlineStr">
        <is>
          <t>Green</t>
        </is>
      </c>
      <c r="X13" s="12" t="inlineStr">
        <is>
          <t>No breach</t>
        </is>
      </c>
      <c r="Y13" s="9">
        <f>FALSE()</f>
        <v/>
      </c>
      <c r="AA13" s="9">
        <f>TRUE()</f>
        <v/>
      </c>
      <c r="AB13" s="12">
        <f>FALSE()</f>
        <v/>
      </c>
      <c r="AC13" s="12" t="n">
        <v>7</v>
      </c>
      <c r="AD13" s="12" t="n">
        <v>2.6</v>
      </c>
      <c r="AE13" s="12" t="inlineStr">
        <is>
          <t>Summer — Baseline ED pressure</t>
        </is>
      </c>
      <c r="AF13" s="9" t="inlineStr">
        <is>
          <t>Model 3</t>
        </is>
      </c>
      <c r="AG13" s="12" t="n">
        <v>25</v>
      </c>
      <c r="AH13" s="12" t="n">
        <v>3734</v>
      </c>
    </row>
    <row r="14" ht="15" customHeight="1" s="10">
      <c r="A14" s="9" t="inlineStr">
        <is>
          <t>Naas General Hospital</t>
        </is>
      </c>
      <c r="B14" s="9" t="n">
        <v>178</v>
      </c>
      <c r="C14" s="12" t="inlineStr">
        <is>
          <t>eastern</t>
        </is>
      </c>
      <c r="D14" s="9" t="n">
        <v>16</v>
      </c>
      <c r="E14" s="9" t="n">
        <v>0</v>
      </c>
      <c r="F14" s="9" t="n">
        <v>16</v>
      </c>
      <c r="G14" s="9" t="n">
        <v>22</v>
      </c>
      <c r="H14" s="9" t="n">
        <v>10</v>
      </c>
      <c r="I14" s="9" t="n">
        <v>2</v>
      </c>
      <c r="J14" s="9" t="n">
        <v>0</v>
      </c>
      <c r="K14" s="13" t="n">
        <v>46161</v>
      </c>
      <c r="L14" s="9" t="n">
        <v>16</v>
      </c>
      <c r="M14" s="9" t="n">
        <v>0</v>
      </c>
      <c r="N14" s="9" t="n">
        <v>16</v>
      </c>
      <c r="O14" s="9" t="n">
        <v>138</v>
      </c>
      <c r="P14" s="9" t="n">
        <v>19</v>
      </c>
      <c r="Q14" s="9" t="n">
        <v>157</v>
      </c>
      <c r="R14" s="12" t="n">
        <v>1351</v>
      </c>
      <c r="S14" s="12" t="n">
        <v>0</v>
      </c>
      <c r="T14" s="12" t="n">
        <v>1351</v>
      </c>
      <c r="U14" s="9" t="n">
        <v>16</v>
      </c>
      <c r="V14" s="12" t="n">
        <v>9</v>
      </c>
      <c r="W14" s="9" t="inlineStr">
        <is>
          <t>Amber</t>
        </is>
      </c>
      <c r="X14" s="12" t="inlineStr">
        <is>
          <t>Low breach</t>
        </is>
      </c>
      <c r="Y14" s="9">
        <f>FALSE()</f>
        <v/>
      </c>
      <c r="AA14" s="9">
        <f>TRUE()</f>
        <v/>
      </c>
      <c r="AB14" s="12">
        <f>FALSE()</f>
        <v/>
      </c>
      <c r="AC14" s="12" t="n">
        <v>12</v>
      </c>
      <c r="AD14" s="12" t="n">
        <v>5.9</v>
      </c>
      <c r="AE14" s="12" t="inlineStr">
        <is>
          <t>Summer — Baseline ED pressure</t>
        </is>
      </c>
      <c r="AF14" s="9" t="inlineStr">
        <is>
          <t>Model 3</t>
        </is>
      </c>
      <c r="AG14" s="12" t="n">
        <v>25</v>
      </c>
      <c r="AH14" s="12" t="n">
        <v>3692</v>
      </c>
    </row>
    <row r="15" ht="15" customHeight="1" s="10">
      <c r="A15" s="9" t="inlineStr">
        <is>
          <t>St. James's Hospital</t>
        </is>
      </c>
      <c r="B15" s="9" t="n">
        <v>680</v>
      </c>
      <c r="C15" s="12" t="inlineStr">
        <is>
          <t>eastern</t>
        </is>
      </c>
      <c r="D15" s="9" t="n">
        <v>14</v>
      </c>
      <c r="E15" s="9" t="n">
        <v>0</v>
      </c>
      <c r="F15" s="9" t="n">
        <v>14</v>
      </c>
      <c r="G15" s="9" t="n">
        <v>12</v>
      </c>
      <c r="H15" s="9" t="n">
        <v>54</v>
      </c>
      <c r="I15" s="9" t="n">
        <v>0</v>
      </c>
      <c r="J15" s="9" t="n">
        <v>0</v>
      </c>
      <c r="K15" s="13" t="n">
        <v>46161</v>
      </c>
      <c r="L15" s="9" t="n">
        <v>14</v>
      </c>
      <c r="M15" s="9" t="n">
        <v>0</v>
      </c>
      <c r="N15" s="9" t="n">
        <v>14</v>
      </c>
      <c r="O15" s="9" t="n">
        <v>153</v>
      </c>
      <c r="P15" s="9" t="n">
        <v>0</v>
      </c>
      <c r="Q15" s="9" t="n">
        <v>153</v>
      </c>
      <c r="R15" s="12" t="n">
        <v>951</v>
      </c>
      <c r="S15" s="12" t="n">
        <v>113</v>
      </c>
      <c r="T15" s="12" t="n">
        <v>1064</v>
      </c>
      <c r="U15" s="9" t="n">
        <v>14</v>
      </c>
      <c r="V15" s="12" t="n">
        <v>2.1</v>
      </c>
      <c r="W15" s="9" t="inlineStr">
        <is>
          <t>Green</t>
        </is>
      </c>
      <c r="X15" s="12" t="inlineStr">
        <is>
          <t>No breach</t>
        </is>
      </c>
      <c r="Y15" s="9">
        <f>FALSE()</f>
        <v/>
      </c>
      <c r="AA15" s="9">
        <f>TRUE()</f>
        <v/>
      </c>
      <c r="AB15" s="12">
        <f>FALSE()</f>
        <v/>
      </c>
      <c r="AC15" s="12" t="n">
        <v>-42</v>
      </c>
      <c r="AD15" s="12" t="n">
        <v>3.4</v>
      </c>
      <c r="AE15" s="12" t="inlineStr">
        <is>
          <t>Summer — Baseline ED pressure</t>
        </is>
      </c>
      <c r="AF15" s="9" t="inlineStr">
        <is>
          <t>Model 4</t>
        </is>
      </c>
      <c r="AG15" s="12" t="n">
        <v>16.7</v>
      </c>
      <c r="AH15" s="12" t="n">
        <v>5032</v>
      </c>
    </row>
    <row r="16" ht="15" customHeight="1" s="10">
      <c r="A16" s="9" t="inlineStr">
        <is>
          <t>Tallaght University Hospital</t>
        </is>
      </c>
      <c r="B16" s="9" t="n">
        <v>397</v>
      </c>
      <c r="C16" s="12" t="inlineStr">
        <is>
          <t>eastern</t>
        </is>
      </c>
      <c r="D16" s="9" t="n">
        <v>0</v>
      </c>
      <c r="E16" s="9" t="n">
        <v>0</v>
      </c>
      <c r="F16" s="9" t="n">
        <v>0</v>
      </c>
      <c r="G16" s="9" t="n">
        <v>12</v>
      </c>
      <c r="H16" s="9" t="n">
        <v>10</v>
      </c>
      <c r="I16" s="9" t="n">
        <v>0</v>
      </c>
      <c r="J16" s="9" t="n">
        <v>0</v>
      </c>
      <c r="K16" s="13" t="n">
        <v>46161</v>
      </c>
      <c r="L16" s="9" t="n">
        <v>1</v>
      </c>
      <c r="M16" s="9" t="n">
        <v>0</v>
      </c>
      <c r="N16" s="9" t="n">
        <v>1</v>
      </c>
      <c r="O16" s="9" t="n">
        <v>65</v>
      </c>
      <c r="P16" s="9" t="n">
        <v>72</v>
      </c>
      <c r="Q16" s="9" t="n">
        <v>137</v>
      </c>
      <c r="R16" s="12" t="n">
        <v>79</v>
      </c>
      <c r="S16" s="12" t="n">
        <v>0</v>
      </c>
      <c r="T16" s="12" t="n">
        <v>79</v>
      </c>
      <c r="U16" s="9" t="n">
        <v>0</v>
      </c>
      <c r="V16" s="12" t="n">
        <v>0</v>
      </c>
      <c r="W16" s="9" t="inlineStr">
        <is>
          <t>Green</t>
        </is>
      </c>
      <c r="X16" s="12" t="inlineStr">
        <is>
          <t>No breach</t>
        </is>
      </c>
      <c r="Y16" s="9">
        <f>FALSE()</f>
        <v/>
      </c>
      <c r="AA16" s="9">
        <f>TRUE()</f>
        <v/>
      </c>
      <c r="AB16" s="12">
        <f>FALSE()</f>
        <v/>
      </c>
      <c r="AC16" s="12" t="n">
        <v>2</v>
      </c>
      <c r="AD16" s="12" t="n">
        <v>2.6</v>
      </c>
      <c r="AE16" s="12" t="inlineStr">
        <is>
          <t>Summer — Baseline ED pressure</t>
        </is>
      </c>
      <c r="AF16" s="9" t="inlineStr">
        <is>
          <t>Model 4</t>
        </is>
      </c>
      <c r="AG16" s="12" t="n">
        <v>18.7</v>
      </c>
      <c r="AH16" s="12" t="n">
        <v>4970</v>
      </c>
    </row>
    <row r="17" ht="15" customHeight="1" s="10">
      <c r="A17" s="9" t="inlineStr">
        <is>
          <t>St Luke's General Hospital Kilkenny</t>
        </is>
      </c>
      <c r="B17" s="9" t="n">
        <v>188</v>
      </c>
      <c r="C17" s="12" t="inlineStr">
        <is>
          <t>country</t>
        </is>
      </c>
      <c r="D17" s="9" t="n">
        <v>12</v>
      </c>
      <c r="E17" s="9" t="n">
        <v>5</v>
      </c>
      <c r="F17" s="9" t="n">
        <v>17</v>
      </c>
      <c r="G17" s="9" t="n">
        <v>16</v>
      </c>
      <c r="H17" s="9" t="n">
        <v>21</v>
      </c>
      <c r="I17" s="9" t="n">
        <v>2</v>
      </c>
      <c r="J17" s="9" t="n">
        <v>0</v>
      </c>
      <c r="K17" s="13" t="n">
        <v>46161</v>
      </c>
      <c r="L17" s="9" t="n">
        <v>12</v>
      </c>
      <c r="M17" s="9" t="n">
        <v>10</v>
      </c>
      <c r="N17" s="9" t="n">
        <v>22</v>
      </c>
      <c r="O17" s="9" t="n">
        <v>0</v>
      </c>
      <c r="P17" s="9" t="n">
        <v>23</v>
      </c>
      <c r="Q17" s="9" t="n">
        <v>23</v>
      </c>
      <c r="R17" s="12" t="n">
        <v>284</v>
      </c>
      <c r="S17" s="12" t="n">
        <v>317</v>
      </c>
      <c r="T17" s="12" t="n">
        <v>601</v>
      </c>
      <c r="U17" s="9" t="n">
        <v>17</v>
      </c>
      <c r="V17" s="12" t="n">
        <v>9</v>
      </c>
      <c r="W17" s="9" t="inlineStr">
        <is>
          <t>Amber</t>
        </is>
      </c>
      <c r="X17" s="12" t="inlineStr">
        <is>
          <t>Low breach</t>
        </is>
      </c>
      <c r="Y17" s="9">
        <f>FALSE()</f>
        <v/>
      </c>
      <c r="AA17" s="9">
        <f>TRUE()</f>
        <v/>
      </c>
      <c r="AB17" s="12">
        <f>FALSE()</f>
        <v/>
      </c>
      <c r="AC17" s="12" t="n">
        <v>-5</v>
      </c>
      <c r="AD17" s="12" t="n">
        <v>5.9</v>
      </c>
      <c r="AE17" s="12" t="inlineStr">
        <is>
          <t>Summer — Baseline ED pressure</t>
        </is>
      </c>
      <c r="AF17" s="9" t="inlineStr">
        <is>
          <t>Model 3</t>
        </is>
      </c>
      <c r="AG17" s="12" t="n">
        <v>24.4</v>
      </c>
      <c r="AH17" s="12" t="n">
        <v>4100</v>
      </c>
    </row>
    <row r="18" ht="15" customHeight="1" s="10">
      <c r="A18" s="9" t="inlineStr">
        <is>
          <t>St. Vincent's University Hospital</t>
        </is>
      </c>
      <c r="B18" s="9" t="n">
        <v>523</v>
      </c>
      <c r="C18" s="12" t="inlineStr">
        <is>
          <t>eastern</t>
        </is>
      </c>
      <c r="D18" s="9" t="n">
        <v>39</v>
      </c>
      <c r="E18" s="9" t="n">
        <v>10</v>
      </c>
      <c r="F18" s="9" t="n">
        <v>49</v>
      </c>
      <c r="G18" s="9" t="n">
        <v>62</v>
      </c>
      <c r="H18" s="9" t="n">
        <v>28</v>
      </c>
      <c r="I18" s="9" t="n">
        <v>12</v>
      </c>
      <c r="J18" s="9" t="n">
        <v>2</v>
      </c>
      <c r="K18" s="13" t="n">
        <v>46161</v>
      </c>
      <c r="L18" s="9" t="n">
        <v>45</v>
      </c>
      <c r="M18" s="9" t="n">
        <v>10</v>
      </c>
      <c r="N18" s="9" t="n">
        <v>55</v>
      </c>
      <c r="O18" s="9" t="n">
        <v>379</v>
      </c>
      <c r="P18" s="9" t="n">
        <v>54</v>
      </c>
      <c r="Q18" s="9" t="n">
        <v>433</v>
      </c>
      <c r="R18" s="12" t="n">
        <v>3105</v>
      </c>
      <c r="S18" s="12" t="n">
        <v>568</v>
      </c>
      <c r="T18" s="12" t="n">
        <v>3673</v>
      </c>
      <c r="U18" s="9" t="n">
        <v>49</v>
      </c>
      <c r="V18" s="12" t="n">
        <v>9.4</v>
      </c>
      <c r="W18" s="9" t="inlineStr">
        <is>
          <t>Red</t>
        </is>
      </c>
      <c r="X18" s="12" t="inlineStr">
        <is>
          <t>High breach</t>
        </is>
      </c>
      <c r="Y18" s="9">
        <f>FALSE()</f>
        <v/>
      </c>
      <c r="AA18" s="9">
        <f>TRUE()</f>
        <v/>
      </c>
      <c r="AB18" s="12">
        <f>FALSE()</f>
        <v/>
      </c>
      <c r="AC18" s="12" t="n">
        <v>34</v>
      </c>
      <c r="AD18" s="12" t="n">
        <v>6.1</v>
      </c>
      <c r="AE18" s="12" t="inlineStr">
        <is>
          <t>Summer — Baseline ED pressure</t>
        </is>
      </c>
      <c r="AF18" s="9" t="inlineStr">
        <is>
          <t>Model 4</t>
        </is>
      </c>
      <c r="AG18" s="12" t="n">
        <v>17.8</v>
      </c>
      <c r="AH18" s="12" t="n">
        <v>5552</v>
      </c>
    </row>
    <row r="19" ht="15" customHeight="1" s="10">
      <c r="A19" s="9" t="inlineStr">
        <is>
          <t>Tipperary University Hospital</t>
        </is>
      </c>
      <c r="B19" s="9" t="n">
        <v>205</v>
      </c>
      <c r="C19" s="12" t="inlineStr">
        <is>
          <t>country</t>
        </is>
      </c>
      <c r="D19" s="9" t="n">
        <v>9</v>
      </c>
      <c r="E19" s="9" t="n">
        <v>0</v>
      </c>
      <c r="F19" s="9" t="n">
        <v>9</v>
      </c>
      <c r="G19" s="9" t="n">
        <v>26</v>
      </c>
      <c r="H19" s="9" t="n">
        <v>10</v>
      </c>
      <c r="I19" s="9" t="n">
        <v>2</v>
      </c>
      <c r="J19" s="9" t="n">
        <v>0</v>
      </c>
      <c r="K19" s="13" t="n">
        <v>46161</v>
      </c>
      <c r="L19" s="9" t="n">
        <v>9</v>
      </c>
      <c r="M19" s="9" t="n">
        <v>13</v>
      </c>
      <c r="N19" s="9" t="n">
        <v>22</v>
      </c>
      <c r="O19" s="9" t="n">
        <v>33</v>
      </c>
      <c r="P19" s="9" t="n">
        <v>47</v>
      </c>
      <c r="Q19" s="9" t="n">
        <v>80</v>
      </c>
      <c r="R19" s="12" t="n">
        <v>1716</v>
      </c>
      <c r="S19" s="12" t="n">
        <v>2444</v>
      </c>
      <c r="T19" s="12" t="n">
        <v>4160</v>
      </c>
      <c r="U19" s="9" t="n">
        <v>9</v>
      </c>
      <c r="V19" s="12" t="n">
        <v>4.4</v>
      </c>
      <c r="W19" s="9" t="inlineStr">
        <is>
          <t>Green</t>
        </is>
      </c>
      <c r="X19" s="12" t="inlineStr">
        <is>
          <t>No breach</t>
        </is>
      </c>
      <c r="Y19" s="9">
        <f>FALSE()</f>
        <v/>
      </c>
      <c r="AA19" s="9">
        <f>TRUE()</f>
        <v/>
      </c>
      <c r="AB19" s="12">
        <f>FALSE()</f>
        <v/>
      </c>
      <c r="AC19" s="12" t="n">
        <v>16</v>
      </c>
      <c r="AD19" s="12" t="n">
        <v>4.2</v>
      </c>
      <c r="AE19" s="12" t="inlineStr">
        <is>
          <t>Summer — Baseline ED pressure</t>
        </is>
      </c>
      <c r="AF19" s="9" t="inlineStr">
        <is>
          <t>Model 3</t>
        </is>
      </c>
      <c r="AG19" s="12" t="n">
        <v>25</v>
      </c>
      <c r="AH19" s="12" t="n">
        <v>3937</v>
      </c>
    </row>
    <row r="20" ht="15" customHeight="1" s="10">
      <c r="A20" s="9" t="inlineStr">
        <is>
          <t>UH Waterford</t>
        </is>
      </c>
      <c r="B20" s="9" t="n">
        <v>429</v>
      </c>
      <c r="C20" s="12" t="inlineStr">
        <is>
          <t>country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26</v>
      </c>
      <c r="I20" s="9" t="n">
        <v>0</v>
      </c>
      <c r="J20" s="9" t="n">
        <v>0</v>
      </c>
      <c r="K20" s="13" t="n">
        <v>46161</v>
      </c>
      <c r="R20" s="12" t="n">
        <v>0</v>
      </c>
      <c r="S20" s="12" t="n">
        <v>0</v>
      </c>
      <c r="T20" s="12" t="n">
        <v>0</v>
      </c>
      <c r="U20" s="9" t="n">
        <v>0</v>
      </c>
      <c r="V20" s="12" t="n">
        <v>0</v>
      </c>
      <c r="W20" s="9" t="inlineStr">
        <is>
          <t>Green</t>
        </is>
      </c>
      <c r="X20" s="12" t="inlineStr">
        <is>
          <t>No breach</t>
        </is>
      </c>
      <c r="Y20" s="9">
        <f>FALSE()</f>
        <v/>
      </c>
      <c r="AA20" s="9">
        <f>TRUE()</f>
        <v/>
      </c>
      <c r="AB20" s="12">
        <f>FALSE()</f>
        <v/>
      </c>
      <c r="AC20" s="12" t="n">
        <v>-26</v>
      </c>
      <c r="AD20" s="12" t="n">
        <v>2.6</v>
      </c>
      <c r="AE20" s="12" t="inlineStr">
        <is>
          <t>Summer — Baseline ED pressure</t>
        </is>
      </c>
      <c r="AF20" s="9" t="inlineStr">
        <is>
          <t>Model 4</t>
        </is>
      </c>
      <c r="AG20" s="12" t="n">
        <v>17.9</v>
      </c>
      <c r="AH20" s="12" t="n">
        <v>6194</v>
      </c>
    </row>
    <row r="21" ht="15" customHeight="1" s="10">
      <c r="A21" s="9" t="inlineStr">
        <is>
          <t>Wexford General Hospital</t>
        </is>
      </c>
      <c r="B21" s="9" t="n">
        <v>227</v>
      </c>
      <c r="C21" s="12" t="inlineStr">
        <is>
          <t>country</t>
        </is>
      </c>
      <c r="D21" s="9" t="n">
        <v>1</v>
      </c>
      <c r="E21" s="9" t="n">
        <v>2</v>
      </c>
      <c r="F21" s="9" t="n">
        <v>3</v>
      </c>
      <c r="G21" s="9" t="n">
        <v>21</v>
      </c>
      <c r="H21" s="9" t="n">
        <v>7</v>
      </c>
      <c r="I21" s="9" t="n">
        <v>1</v>
      </c>
      <c r="J21" s="9" t="n">
        <v>0</v>
      </c>
      <c r="K21" s="13" t="n">
        <v>46161</v>
      </c>
      <c r="L21" s="9" t="n">
        <v>1</v>
      </c>
      <c r="M21" s="9" t="n">
        <v>2</v>
      </c>
      <c r="N21" s="9" t="n">
        <v>3</v>
      </c>
      <c r="O21" s="9" t="n">
        <v>58</v>
      </c>
      <c r="P21" s="9" t="n">
        <v>188</v>
      </c>
      <c r="Q21" s="9" t="n">
        <v>246</v>
      </c>
      <c r="R21" s="12" t="n">
        <v>862</v>
      </c>
      <c r="S21" s="12" t="n">
        <v>999</v>
      </c>
      <c r="T21" s="12" t="n">
        <v>1861</v>
      </c>
      <c r="U21" s="9" t="n">
        <v>3</v>
      </c>
      <c r="V21" s="12" t="n">
        <v>1.3</v>
      </c>
      <c r="W21" s="9" t="inlineStr">
        <is>
          <t>Green</t>
        </is>
      </c>
      <c r="X21" s="12" t="inlineStr">
        <is>
          <t>No breach</t>
        </is>
      </c>
      <c r="Y21" s="9">
        <f>FALSE()</f>
        <v/>
      </c>
      <c r="AA21" s="9">
        <f>TRUE()</f>
        <v/>
      </c>
      <c r="AB21" s="12">
        <f>FALSE()</f>
        <v/>
      </c>
      <c r="AC21" s="12" t="n">
        <v>14</v>
      </c>
      <c r="AD21" s="12" t="n">
        <v>3.1</v>
      </c>
      <c r="AE21" s="12" t="inlineStr">
        <is>
          <t>Summer — Baseline ED pressure</t>
        </is>
      </c>
      <c r="AF21" s="9" t="inlineStr">
        <is>
          <t>Model 3</t>
        </is>
      </c>
      <c r="AG21" s="12" t="n">
        <v>25.2</v>
      </c>
      <c r="AH21" s="12" t="n">
        <v>5074</v>
      </c>
    </row>
    <row r="22" ht="15" customHeight="1" s="10">
      <c r="A22" s="9" t="inlineStr">
        <is>
          <t>Cork University Hospital</t>
        </is>
      </c>
      <c r="B22" s="9" t="n">
        <v>664</v>
      </c>
      <c r="C22" s="12" t="inlineStr">
        <is>
          <t>country</t>
        </is>
      </c>
      <c r="D22" s="9" t="n">
        <v>29</v>
      </c>
      <c r="E22" s="9" t="n">
        <v>10</v>
      </c>
      <c r="F22" s="9" t="n">
        <v>39</v>
      </c>
      <c r="G22" s="9" t="n">
        <v>46</v>
      </c>
      <c r="H22" s="9" t="n">
        <v>37</v>
      </c>
      <c r="I22" s="9" t="n">
        <v>4</v>
      </c>
      <c r="J22" s="9" t="n">
        <v>1</v>
      </c>
      <c r="K22" s="13" t="n">
        <v>46161</v>
      </c>
      <c r="L22" s="9" t="n">
        <v>34</v>
      </c>
      <c r="M22" s="9" t="n">
        <v>10</v>
      </c>
      <c r="N22" s="9" t="n">
        <v>44</v>
      </c>
      <c r="O22" s="9" t="n">
        <v>382</v>
      </c>
      <c r="P22" s="9" t="n">
        <v>91</v>
      </c>
      <c r="Q22" s="9" t="n">
        <v>473</v>
      </c>
      <c r="R22" s="12" t="n">
        <v>19864</v>
      </c>
      <c r="S22" s="12" t="n">
        <v>548</v>
      </c>
      <c r="T22" s="12" t="n">
        <v>20412</v>
      </c>
      <c r="U22" s="9" t="n">
        <v>39</v>
      </c>
      <c r="V22" s="12" t="n">
        <v>5.9</v>
      </c>
      <c r="W22" s="9" t="inlineStr">
        <is>
          <t>Amber</t>
        </is>
      </c>
      <c r="X22" s="12" t="inlineStr">
        <is>
          <t>Moderate breach</t>
        </is>
      </c>
      <c r="Y22" s="9">
        <f>FALSE()</f>
        <v/>
      </c>
      <c r="AA22" s="9">
        <f>TRUE()</f>
        <v/>
      </c>
      <c r="AB22" s="12">
        <f>FALSE()</f>
        <v/>
      </c>
      <c r="AC22" s="12" t="n">
        <v>9</v>
      </c>
      <c r="AD22" s="12" t="n">
        <v>4.8</v>
      </c>
      <c r="AE22" s="12" t="inlineStr">
        <is>
          <t>Summer — Baseline ED pressure</t>
        </is>
      </c>
      <c r="AF22" s="9" t="inlineStr">
        <is>
          <t>Model 4</t>
        </is>
      </c>
      <c r="AG22" s="12" t="n">
        <v>17.3</v>
      </c>
      <c r="AH22" s="12" t="n">
        <v>7196</v>
      </c>
    </row>
    <row r="23" ht="15" customHeight="1" s="10">
      <c r="A23" s="9" t="inlineStr">
        <is>
          <t>Mercy University Hospital</t>
        </is>
      </c>
      <c r="B23" s="9" t="n">
        <v>198</v>
      </c>
      <c r="C23" s="12" t="inlineStr">
        <is>
          <t>country</t>
        </is>
      </c>
      <c r="D23" s="9" t="n">
        <v>3</v>
      </c>
      <c r="E23" s="9" t="n">
        <v>0</v>
      </c>
      <c r="F23" s="9" t="n">
        <v>3</v>
      </c>
      <c r="G23" s="9" t="n">
        <v>20</v>
      </c>
      <c r="H23" s="9" t="n">
        <v>17</v>
      </c>
      <c r="I23" s="9" t="n">
        <v>0</v>
      </c>
      <c r="J23" s="9" t="n">
        <v>0</v>
      </c>
      <c r="K23" s="13" t="n">
        <v>46161</v>
      </c>
      <c r="L23" s="9" t="n">
        <v>3</v>
      </c>
      <c r="M23" s="9" t="n">
        <v>6</v>
      </c>
      <c r="N23" s="9" t="n">
        <v>9</v>
      </c>
      <c r="O23" s="9" t="n">
        <v>65</v>
      </c>
      <c r="P23" s="9" t="n">
        <v>31</v>
      </c>
      <c r="Q23" s="9" t="n">
        <v>96</v>
      </c>
      <c r="R23" s="12" t="n">
        <v>1190</v>
      </c>
      <c r="S23" s="12" t="n">
        <v>459</v>
      </c>
      <c r="T23" s="12" t="n">
        <v>1649</v>
      </c>
      <c r="U23" s="9" t="n">
        <v>3</v>
      </c>
      <c r="V23" s="12" t="n">
        <v>1.5</v>
      </c>
      <c r="W23" s="9" t="inlineStr">
        <is>
          <t>Green</t>
        </is>
      </c>
      <c r="X23" s="12" t="inlineStr">
        <is>
          <t>No breach</t>
        </is>
      </c>
      <c r="Y23" s="9">
        <f>FALSE()</f>
        <v/>
      </c>
      <c r="AA23" s="9">
        <f>TRUE()</f>
        <v/>
      </c>
      <c r="AB23" s="12">
        <f>FALSE()</f>
        <v/>
      </c>
      <c r="AC23" s="12" t="n">
        <v>3</v>
      </c>
      <c r="AD23" s="12" t="n">
        <v>3.2</v>
      </c>
      <c r="AE23" s="12" t="inlineStr">
        <is>
          <t>Summer — Baseline ED pressure</t>
        </is>
      </c>
      <c r="AF23" s="9" t="inlineStr">
        <is>
          <t>Model 3</t>
        </is>
      </c>
      <c r="AG23" s="12" t="n">
        <v>24.6</v>
      </c>
      <c r="AH23" s="12" t="n">
        <v>4325</v>
      </c>
    </row>
    <row r="24" ht="15" customHeight="1" s="10">
      <c r="A24" s="9" t="inlineStr">
        <is>
          <t>University Hospital Kerry</t>
        </is>
      </c>
      <c r="B24" s="9" t="n">
        <v>272</v>
      </c>
      <c r="C24" s="12" t="inlineStr">
        <is>
          <t>country</t>
        </is>
      </c>
      <c r="D24" s="9" t="n">
        <v>10</v>
      </c>
      <c r="E24" s="9" t="n">
        <v>0</v>
      </c>
      <c r="F24" s="9" t="n">
        <v>10</v>
      </c>
      <c r="G24" s="9" t="n">
        <v>20</v>
      </c>
      <c r="H24" s="9" t="n">
        <v>16</v>
      </c>
      <c r="I24" s="9" t="n">
        <v>4</v>
      </c>
      <c r="J24" s="9" t="n">
        <v>0</v>
      </c>
      <c r="K24" s="13" t="n">
        <v>46161</v>
      </c>
      <c r="L24" s="9" t="n">
        <v>10</v>
      </c>
      <c r="M24" s="9" t="n">
        <v>0</v>
      </c>
      <c r="N24" s="9" t="n">
        <v>10</v>
      </c>
      <c r="O24" s="9" t="n">
        <v>115</v>
      </c>
      <c r="P24" s="9" t="n">
        <v>13</v>
      </c>
      <c r="Q24" s="9" t="n">
        <v>128</v>
      </c>
      <c r="R24" s="12" t="n">
        <v>453</v>
      </c>
      <c r="S24" s="12" t="n">
        <v>10</v>
      </c>
      <c r="T24" s="12" t="n">
        <v>463</v>
      </c>
      <c r="U24" s="9" t="n">
        <v>10</v>
      </c>
      <c r="V24" s="12" t="n">
        <v>3.7</v>
      </c>
      <c r="W24" s="9" t="inlineStr">
        <is>
          <t>Amber</t>
        </is>
      </c>
      <c r="X24" s="12" t="inlineStr">
        <is>
          <t>Moderate breach</t>
        </is>
      </c>
      <c r="Y24" s="9">
        <f>FALSE()</f>
        <v/>
      </c>
      <c r="AA24" s="9">
        <f>TRUE()</f>
        <v/>
      </c>
      <c r="AB24" s="12">
        <f>FALSE()</f>
        <v/>
      </c>
      <c r="AC24" s="12" t="n">
        <v>4</v>
      </c>
      <c r="AD24" s="12" t="n">
        <v>4</v>
      </c>
      <c r="AE24" s="12" t="inlineStr">
        <is>
          <t>Summer — Baseline ED pressure</t>
        </is>
      </c>
      <c r="AF24" s="9" t="inlineStr">
        <is>
          <t>Model 3</t>
        </is>
      </c>
      <c r="AG24" s="12" t="n">
        <v>24.7</v>
      </c>
      <c r="AH24" s="12" t="n">
        <v>4062</v>
      </c>
    </row>
    <row r="25" ht="15" customHeight="1" s="10">
      <c r="A25" s="9" t="inlineStr">
        <is>
          <t>University Hospital Limerick</t>
        </is>
      </c>
      <c r="B25" s="9" t="n">
        <v>519</v>
      </c>
      <c r="C25" s="12" t="inlineStr">
        <is>
          <t>country</t>
        </is>
      </c>
      <c r="D25" s="9" t="n">
        <v>17</v>
      </c>
      <c r="E25" s="9" t="n">
        <v>43</v>
      </c>
      <c r="F25" s="9" t="n">
        <v>60</v>
      </c>
      <c r="G25" s="9" t="n">
        <v>40</v>
      </c>
      <c r="H25" s="9" t="n">
        <v>21</v>
      </c>
      <c r="I25" s="9" t="n">
        <v>29</v>
      </c>
      <c r="J25" s="9" t="n">
        <v>0</v>
      </c>
      <c r="K25" s="13" t="n">
        <v>46161</v>
      </c>
      <c r="L25" s="9" t="n">
        <v>38</v>
      </c>
      <c r="M25" s="9" t="n">
        <v>59</v>
      </c>
      <c r="N25" s="9" t="n">
        <v>97</v>
      </c>
      <c r="O25" s="9" t="n">
        <v>89</v>
      </c>
      <c r="P25" s="9" t="n">
        <v>118</v>
      </c>
      <c r="Q25" s="9" t="n">
        <v>207</v>
      </c>
      <c r="R25" s="12" t="n">
        <v>4628</v>
      </c>
      <c r="S25" s="12" t="n">
        <v>577</v>
      </c>
      <c r="T25" s="12" t="n">
        <v>5205</v>
      </c>
      <c r="U25" s="9" t="n">
        <v>60</v>
      </c>
      <c r="V25" s="12" t="n">
        <v>11.6</v>
      </c>
      <c r="W25" s="9" t="inlineStr">
        <is>
          <t>Red</t>
        </is>
      </c>
      <c r="X25" s="12" t="inlineStr">
        <is>
          <t>High breach</t>
        </is>
      </c>
      <c r="Y25" s="9">
        <f>FALSE()</f>
        <v/>
      </c>
      <c r="AA25" s="9">
        <f>TRUE()</f>
        <v/>
      </c>
      <c r="AB25" s="12">
        <f>FALSE()</f>
        <v/>
      </c>
      <c r="AC25" s="12" t="n">
        <v>19</v>
      </c>
      <c r="AD25" s="12" t="n">
        <v>6.9</v>
      </c>
      <c r="AE25" s="12" t="inlineStr">
        <is>
          <t>Summer — Baseline ED pressure</t>
        </is>
      </c>
      <c r="AF25" s="9" t="inlineStr">
        <is>
          <t>Model 4</t>
        </is>
      </c>
      <c r="AG25" s="12" t="n">
        <v>18.2</v>
      </c>
      <c r="AH25" s="12" t="n">
        <v>7049</v>
      </c>
    </row>
    <row r="26" ht="15" customHeight="1" s="10">
      <c r="A26" s="9" t="inlineStr">
        <is>
          <t>Galway University Hospitals</t>
        </is>
      </c>
      <c r="B26" s="9" t="n">
        <v>663</v>
      </c>
      <c r="C26" s="12" t="inlineStr">
        <is>
          <t>country</t>
        </is>
      </c>
      <c r="D26" s="9" t="n">
        <v>13</v>
      </c>
      <c r="E26" s="9" t="n">
        <v>16</v>
      </c>
      <c r="F26" s="9" t="n">
        <v>29</v>
      </c>
      <c r="G26" s="9" t="n">
        <v>43</v>
      </c>
      <c r="H26" s="9" t="n">
        <v>32</v>
      </c>
      <c r="I26" s="9" t="n">
        <v>3</v>
      </c>
      <c r="J26" s="9" t="n">
        <v>0</v>
      </c>
      <c r="K26" s="13" t="n">
        <v>46161</v>
      </c>
      <c r="L26" s="9" t="n">
        <v>29</v>
      </c>
      <c r="M26" s="9" t="n">
        <v>16</v>
      </c>
      <c r="N26" s="9" t="n">
        <v>45</v>
      </c>
      <c r="O26" s="9" t="n">
        <v>300</v>
      </c>
      <c r="P26" s="9" t="n">
        <v>196</v>
      </c>
      <c r="Q26" s="9" t="n">
        <v>496</v>
      </c>
      <c r="R26" s="12" t="n">
        <v>822</v>
      </c>
      <c r="S26" s="12" t="n">
        <v>1337</v>
      </c>
      <c r="T26" s="12" t="n">
        <v>2159</v>
      </c>
      <c r="U26" s="9" t="n">
        <v>29</v>
      </c>
      <c r="V26" s="12" t="n">
        <v>4.4</v>
      </c>
      <c r="W26" s="9" t="inlineStr">
        <is>
          <t>Amber</t>
        </is>
      </c>
      <c r="X26" s="12" t="inlineStr">
        <is>
          <t>Moderate breach</t>
        </is>
      </c>
      <c r="Y26" s="9">
        <f>FALSE()</f>
        <v/>
      </c>
      <c r="AA26" s="9">
        <f>TRUE()</f>
        <v/>
      </c>
      <c r="AB26" s="12">
        <f>FALSE()</f>
        <v/>
      </c>
      <c r="AC26" s="12" t="n">
        <v>11</v>
      </c>
      <c r="AD26" s="12" t="n">
        <v>4.2</v>
      </c>
      <c r="AE26" s="12" t="inlineStr">
        <is>
          <t>Summer — Baseline ED pressure</t>
        </is>
      </c>
      <c r="AF26" s="9" t="inlineStr">
        <is>
          <t>Model 4</t>
        </is>
      </c>
      <c r="AG26" s="12" t="n">
        <v>17.6</v>
      </c>
      <c r="AH26" s="12" t="n">
        <v>6677</v>
      </c>
    </row>
    <row r="27" ht="15" customHeight="1" s="10">
      <c r="A27" s="9" t="inlineStr">
        <is>
          <t>Letterkenny University Hospital</t>
        </is>
      </c>
      <c r="B27" s="9" t="n">
        <v>350</v>
      </c>
      <c r="C27" s="12" t="inlineStr">
        <is>
          <t>country</t>
        </is>
      </c>
      <c r="D27" s="9" t="n">
        <v>4</v>
      </c>
      <c r="E27" s="9" t="n">
        <v>2</v>
      </c>
      <c r="F27" s="9" t="n">
        <v>6</v>
      </c>
      <c r="G27" s="9" t="n">
        <v>12</v>
      </c>
      <c r="H27" s="9" t="n">
        <v>38</v>
      </c>
      <c r="I27" s="9" t="n">
        <v>0</v>
      </c>
      <c r="J27" s="9" t="n">
        <v>0</v>
      </c>
      <c r="K27" s="13" t="n">
        <v>46161</v>
      </c>
      <c r="L27" s="9" t="n">
        <v>4</v>
      </c>
      <c r="M27" s="9" t="n">
        <v>14</v>
      </c>
      <c r="N27" s="9" t="n">
        <v>18</v>
      </c>
      <c r="O27" s="9" t="n">
        <v>226</v>
      </c>
      <c r="P27" s="9" t="n">
        <v>211</v>
      </c>
      <c r="Q27" s="9" t="n">
        <v>437</v>
      </c>
      <c r="R27" s="12" t="n">
        <v>293</v>
      </c>
      <c r="S27" s="12" t="n">
        <v>321</v>
      </c>
      <c r="T27" s="12" t="n">
        <v>614</v>
      </c>
      <c r="U27" s="9" t="n">
        <v>6</v>
      </c>
      <c r="V27" s="12" t="n">
        <v>1.7</v>
      </c>
      <c r="W27" s="9" t="inlineStr">
        <is>
          <t>Green</t>
        </is>
      </c>
      <c r="X27" s="12" t="inlineStr">
        <is>
          <t>No breach</t>
        </is>
      </c>
      <c r="Y27" s="9">
        <f>FALSE()</f>
        <v/>
      </c>
      <c r="AA27" s="9">
        <f>TRUE()</f>
        <v/>
      </c>
      <c r="AB27" s="12">
        <f>FALSE()</f>
        <v/>
      </c>
      <c r="AC27" s="12" t="n">
        <v>-26</v>
      </c>
      <c r="AD27" s="12" t="n">
        <v>3.2</v>
      </c>
      <c r="AE27" s="12" t="inlineStr">
        <is>
          <t>Summer — Baseline ED pressure</t>
        </is>
      </c>
      <c r="AF27" s="9" t="inlineStr">
        <is>
          <t>Model 3</t>
        </is>
      </c>
      <c r="AG27" s="12" t="n">
        <v>23.6</v>
      </c>
      <c r="AH27" s="12" t="n">
        <v>5135</v>
      </c>
    </row>
    <row r="28" ht="15" customHeight="1" s="10">
      <c r="A28" s="9" t="inlineStr">
        <is>
          <t>Mayo University Hospital</t>
        </is>
      </c>
      <c r="B28" s="9" t="n">
        <v>255</v>
      </c>
      <c r="C28" s="12" t="inlineStr">
        <is>
          <t>country</t>
        </is>
      </c>
      <c r="D28" s="9" t="n">
        <v>7</v>
      </c>
      <c r="E28" s="9" t="n">
        <v>15</v>
      </c>
      <c r="F28" s="9" t="n">
        <v>22</v>
      </c>
      <c r="G28" s="9" t="n">
        <v>12</v>
      </c>
      <c r="H28" s="9" t="n">
        <v>8</v>
      </c>
      <c r="I28" s="9" t="n">
        <v>14</v>
      </c>
      <c r="J28" s="9" t="n">
        <v>0</v>
      </c>
      <c r="K28" s="13" t="n">
        <v>46161</v>
      </c>
      <c r="L28" s="9" t="n">
        <v>7</v>
      </c>
      <c r="M28" s="9" t="n">
        <v>15</v>
      </c>
      <c r="N28" s="9" t="n">
        <v>22</v>
      </c>
      <c r="O28" s="9" t="n">
        <v>93</v>
      </c>
      <c r="P28" s="9" t="n">
        <v>152</v>
      </c>
      <c r="Q28" s="9" t="n">
        <v>245</v>
      </c>
      <c r="R28" s="12" t="n">
        <v>3225</v>
      </c>
      <c r="S28" s="12" t="n">
        <v>978</v>
      </c>
      <c r="T28" s="12" t="n">
        <v>4203</v>
      </c>
      <c r="U28" s="9" t="n">
        <v>22</v>
      </c>
      <c r="V28" s="12" t="n">
        <v>8.6</v>
      </c>
      <c r="W28" s="9" t="inlineStr">
        <is>
          <t>Red</t>
        </is>
      </c>
      <c r="X28" s="12" t="inlineStr">
        <is>
          <t>High breach</t>
        </is>
      </c>
      <c r="Y28" s="9">
        <f>FALSE()</f>
        <v/>
      </c>
      <c r="AA28" s="9">
        <f>TRUE()</f>
        <v/>
      </c>
      <c r="AB28" s="12">
        <f>FALSE()</f>
        <v/>
      </c>
      <c r="AC28" s="12" t="n">
        <v>4</v>
      </c>
      <c r="AD28" s="12" t="n">
        <v>5.8</v>
      </c>
      <c r="AE28" s="12" t="inlineStr">
        <is>
          <t>Summer — Baseline ED pressure</t>
        </is>
      </c>
      <c r="AF28" s="9" t="inlineStr">
        <is>
          <t>Model 3</t>
        </is>
      </c>
      <c r="AG28" s="12" t="n">
        <v>25.1</v>
      </c>
      <c r="AH28" s="12" t="n">
        <v>3774</v>
      </c>
    </row>
    <row r="29" ht="15" customHeight="1" s="10">
      <c r="A29" s="9" t="inlineStr">
        <is>
          <t>Portiuncula University Hospital</t>
        </is>
      </c>
      <c r="B29" s="9" t="n">
        <v>163</v>
      </c>
      <c r="C29" s="12" t="inlineStr">
        <is>
          <t>country</t>
        </is>
      </c>
      <c r="D29" s="9" t="n">
        <v>7</v>
      </c>
      <c r="E29" s="9" t="n">
        <v>0</v>
      </c>
      <c r="F29" s="9" t="n">
        <v>7</v>
      </c>
      <c r="G29" s="9" t="n">
        <v>6</v>
      </c>
      <c r="H29" s="9" t="n">
        <v>10</v>
      </c>
      <c r="I29" s="9" t="n">
        <v>0</v>
      </c>
      <c r="J29" s="9" t="n">
        <v>0</v>
      </c>
      <c r="K29" s="13" t="n">
        <v>46161</v>
      </c>
      <c r="L29" s="9" t="n">
        <v>7</v>
      </c>
      <c r="M29" s="9" t="n">
        <v>5</v>
      </c>
      <c r="N29" s="9" t="n">
        <v>12</v>
      </c>
      <c r="O29" s="9" t="n">
        <v>42</v>
      </c>
      <c r="P29" s="9" t="n">
        <v>14</v>
      </c>
      <c r="Q29" s="9" t="n">
        <v>56</v>
      </c>
      <c r="R29" s="12" t="n">
        <v>1425</v>
      </c>
      <c r="S29" s="12" t="n">
        <v>358</v>
      </c>
      <c r="T29" s="12" t="n">
        <v>1783</v>
      </c>
      <c r="U29" s="9" t="n">
        <v>7</v>
      </c>
      <c r="V29" s="12" t="n">
        <v>4.3</v>
      </c>
      <c r="W29" s="9" t="inlineStr">
        <is>
          <t>Green</t>
        </is>
      </c>
      <c r="X29" s="12" t="inlineStr">
        <is>
          <t>No breach</t>
        </is>
      </c>
      <c r="Y29" s="9">
        <f>FALSE()</f>
        <v/>
      </c>
      <c r="AA29" s="9">
        <f>TRUE()</f>
        <v/>
      </c>
      <c r="AB29" s="12">
        <f>FALSE()</f>
        <v/>
      </c>
      <c r="AC29" s="12" t="n">
        <v>-4</v>
      </c>
      <c r="AD29" s="12" t="n">
        <v>4.2</v>
      </c>
      <c r="AE29" s="12" t="inlineStr">
        <is>
          <t>Summer — Baseline ED pressure</t>
        </is>
      </c>
      <c r="AF29" s="9" t="inlineStr">
        <is>
          <t>Model 3</t>
        </is>
      </c>
      <c r="AG29" s="12" t="n">
        <v>25</v>
      </c>
      <c r="AH29" s="12" t="n">
        <v>2698</v>
      </c>
    </row>
    <row r="30" ht="15" customHeight="1" s="10">
      <c r="A30" s="9" t="inlineStr">
        <is>
          <t>Sligo University Hospital</t>
        </is>
      </c>
      <c r="B30" s="9" t="n">
        <v>281</v>
      </c>
      <c r="C30" s="12" t="inlineStr">
        <is>
          <t>country</t>
        </is>
      </c>
      <c r="D30" s="9" t="n">
        <v>5</v>
      </c>
      <c r="E30" s="9" t="n">
        <v>8</v>
      </c>
      <c r="F30" s="9" t="n">
        <v>13</v>
      </c>
      <c r="G30" s="9" t="n">
        <v>27</v>
      </c>
      <c r="H30" s="9" t="n">
        <v>29</v>
      </c>
      <c r="I30" s="9" t="n">
        <v>4</v>
      </c>
      <c r="J30" s="9" t="n">
        <v>0</v>
      </c>
      <c r="K30" s="13" t="n">
        <v>46161</v>
      </c>
      <c r="L30" s="9" t="n">
        <v>22</v>
      </c>
      <c r="M30" s="9" t="n">
        <v>19</v>
      </c>
      <c r="N30" s="9" t="n">
        <v>41</v>
      </c>
      <c r="O30" s="9" t="n">
        <v>7</v>
      </c>
      <c r="P30" s="9" t="n">
        <v>0</v>
      </c>
      <c r="Q30" s="9" t="n">
        <v>7</v>
      </c>
      <c r="R30" s="12" t="n">
        <v>1036</v>
      </c>
      <c r="S30" s="12" t="n">
        <v>2254</v>
      </c>
      <c r="T30" s="12" t="n">
        <v>3290</v>
      </c>
      <c r="U30" s="9" t="n">
        <v>13</v>
      </c>
      <c r="V30" s="12" t="n">
        <v>4.6</v>
      </c>
      <c r="W30" s="9" t="inlineStr">
        <is>
          <t>Amber</t>
        </is>
      </c>
      <c r="X30" s="12" t="inlineStr">
        <is>
          <t>Moderate breach</t>
        </is>
      </c>
      <c r="Y30" s="9">
        <f>FALSE()</f>
        <v/>
      </c>
      <c r="AA30" s="9">
        <f>TRUE()</f>
        <v/>
      </c>
      <c r="AB30" s="12">
        <f>FALSE()</f>
        <v/>
      </c>
      <c r="AC30" s="12" t="n">
        <v>-2</v>
      </c>
      <c r="AD30" s="12" t="n">
        <v>4.3</v>
      </c>
      <c r="AE30" s="12" t="inlineStr">
        <is>
          <t>Summer — Baseline ED pressure</t>
        </is>
      </c>
      <c r="AF30" s="9" t="inlineStr">
        <is>
          <t>Model 3</t>
        </is>
      </c>
      <c r="AG30" s="12" t="n">
        <v>24</v>
      </c>
      <c r="AH30" s="12" t="n">
        <v>4056</v>
      </c>
    </row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2026-05-27T18:14:53Z</dcterms:created>
  <dcterms:modified xmlns:dcterms="http://purl.org/dc/terms/" xmlns:xsi="http://www.w3.org/2001/XMLSchema-instance" xsi:type="dcterms:W3CDTF">2026-05-27T18:26:00Z</dcterms:modified>
  <cp:revision>0</cp:revision>
</cp:coreProperties>
</file>